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<sst xmlns="http://schemas.openxmlformats.org/spreadsheetml/2006/main" count="168" uniqueCount="55">
  <si>
    <t>会場：大正大学 10号館</t>
  </si>
  <si>
    <t>スクーリング①</t>
  </si>
  <si>
    <t>月日</t>
  </si>
  <si>
    <t>時間割</t>
  </si>
  <si>
    <t>小川 瑠太</t>
  </si>
  <si>
    <t>飯田 眞央</t>
  </si>
  <si>
    <t>佐々木 寛人</t>
  </si>
  <si>
    <t>鈴木 結和</t>
  </si>
  <si>
    <t>11月8日
(土)</t>
  </si>
  <si>
    <t>-</t>
  </si>
  <si>
    <t>美術</t>
  </si>
  <si>
    <t>川島</t>
  </si>
  <si>
    <t>情報</t>
  </si>
  <si>
    <t>中塚</t>
  </si>
  <si>
    <t>地理②</t>
  </si>
  <si>
    <t>地理①</t>
  </si>
  <si>
    <t>地理</t>
  </si>
  <si>
    <t>倫理</t>
  </si>
  <si>
    <t>足名</t>
  </si>
  <si>
    <t>公共②</t>
  </si>
  <si>
    <t>政経②</t>
  </si>
  <si>
    <t>公共</t>
  </si>
  <si>
    <t>スクーリング②</t>
  </si>
  <si>
    <t>11月29日
(土)</t>
  </si>
  <si>
    <t>英コⅠ②</t>
  </si>
  <si>
    <t>英コⅠ</t>
  </si>
  <si>
    <t>金子</t>
  </si>
  <si>
    <t>倫理②</t>
  </si>
  <si>
    <t>現国②</t>
  </si>
  <si>
    <t>探究B</t>
  </si>
  <si>
    <t>現国</t>
  </si>
  <si>
    <t>戸口</t>
  </si>
  <si>
    <t>探究</t>
  </si>
  <si>
    <t>国演B</t>
  </si>
  <si>
    <t>国演A</t>
  </si>
  <si>
    <t>国演</t>
  </si>
  <si>
    <t>スクーリング④</t>
  </si>
  <si>
    <t>12月27日
(土)</t>
  </si>
  <si>
    <t>日探②</t>
  </si>
  <si>
    <t>日探①</t>
  </si>
  <si>
    <t>日探</t>
  </si>
  <si>
    <t>歴史②</t>
  </si>
  <si>
    <t>家庭基礎</t>
  </si>
  <si>
    <t>保健</t>
  </si>
  <si>
    <t>数A①</t>
  </si>
  <si>
    <t>数A②</t>
  </si>
  <si>
    <t>数A</t>
  </si>
  <si>
    <t>河西</t>
  </si>
  <si>
    <t>歴史</t>
  </si>
  <si>
    <t>数Ⅰ②</t>
  </si>
  <si>
    <t>世探②</t>
  </si>
  <si>
    <t>世探①</t>
  </si>
  <si>
    <t>数Ⅰ</t>
  </si>
  <si>
    <t>世探</t>
  </si>
  <si>
    <t>言文②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</si>
</sst>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8">
    <font>
      <sz val="10.0"/>
      <color rgb="FF000000"/>
      <name val="Arial"/>
      <scheme val="minor"/>
    </font>
    <font>
      <b/>
      <sz val="14.0"/>
      <color theme="1"/>
      <name val="Meiryo"/>
    </font>
    <font>
      <sz val="11.0"/>
      <color theme="1"/>
      <name val="Calibri"/>
    </font>
    <font>
      <b/>
      <sz val="11.0"/>
      <color theme="1"/>
      <name val="Meiryo"/>
    </font>
    <font>
      <sz val="9.0"/>
      <color theme="1"/>
      <name val="Meiryo"/>
    </font>
    <font>
      <color theme="1"/>
      <name val="Meiryo"/>
    </font>
    <font>
      <sz val="11.0"/>
      <color theme="1"/>
      <name val="Meiryo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</border>
    <border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top style="thin">
        <color rgb="FF000000"/>
      </top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hair">
        <color rgb="FF000000"/>
      </left>
      <right style="thin">
        <color rgb="FF000000"/>
      </right>
      <bottom style="medium">
        <color rgb="FF000000"/>
      </bottom>
    </border>
    <border>
      <left style="hair">
        <color rgb="FF000000"/>
      </left>
      <top style="medium">
        <color rgb="FF000000"/>
      </top>
    </border>
    <border>
      <left style="hair">
        <color rgb="FF000000"/>
      </left>
      <right style="thin">
        <color rgb="FF000000"/>
      </right>
    </border>
    <border>
      <left style="hair">
        <color rgb="FF000000"/>
      </left>
    </border>
    <border>
      <left style="thin">
        <color rgb="FF000000"/>
      </left>
      <right style="hair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2" fontId="5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5" fillId="0" fontId="5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/>
    </xf>
    <xf borderId="2" fillId="0" fontId="4" numFmtId="20" xfId="0" applyAlignment="1" applyBorder="1" applyFont="1" applyNumberFormat="1">
      <alignment horizontal="right"/>
    </xf>
    <xf borderId="3" fillId="0" fontId="4" numFmtId="0" xfId="0" applyAlignment="1" applyBorder="1" applyFont="1">
      <alignment horizontal="center"/>
    </xf>
    <xf borderId="4" fillId="0" fontId="4" numFmtId="20" xfId="0" applyAlignment="1" applyBorder="1" applyFont="1" applyNumberFormat="1">
      <alignment horizontal="right"/>
    </xf>
    <xf borderId="1" fillId="0" fontId="5" numFmtId="0" xfId="0" applyAlignment="1" applyBorder="1" applyFont="1">
      <alignment horizontal="center"/>
    </xf>
    <xf borderId="1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4" numFmtId="20" xfId="0" applyAlignment="1" applyBorder="1" applyFont="1" applyNumberFormat="1">
      <alignment horizontal="right"/>
    </xf>
    <xf borderId="18" fillId="0" fontId="4" numFmtId="0" xfId="0" applyAlignment="1" applyBorder="1" applyFont="1">
      <alignment horizontal="center"/>
    </xf>
    <xf borderId="19" fillId="0" fontId="4" numFmtId="20" xfId="0" applyAlignment="1" applyBorder="1" applyFont="1" applyNumberFormat="1">
      <alignment horizontal="right"/>
    </xf>
    <xf borderId="6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4" numFmtId="20" xfId="0" applyAlignment="1" applyBorder="1" applyFont="1" applyNumberFormat="1">
      <alignment horizontal="right"/>
    </xf>
    <xf borderId="21" fillId="0" fontId="4" numFmtId="0" xfId="0" applyAlignment="1" applyBorder="1" applyFont="1">
      <alignment horizontal="center"/>
    </xf>
    <xf borderId="22" fillId="0" fontId="4" numFmtId="20" xfId="0" applyAlignment="1" applyBorder="1" applyFont="1" applyNumberFormat="1">
      <alignment horizontal="right"/>
    </xf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6" fillId="0" fontId="7" numFmtId="0" xfId="0" applyBorder="1" applyFont="1"/>
    <xf borderId="15" fillId="0" fontId="4" numFmtId="20" xfId="0" applyAlignment="1" applyBorder="1" applyFont="1" applyNumberFormat="1">
      <alignment horizontal="right"/>
    </xf>
    <xf borderId="27" fillId="0" fontId="4" numFmtId="0" xfId="0" applyAlignment="1" applyBorder="1" applyFont="1">
      <alignment horizontal="center"/>
    </xf>
    <xf borderId="16" fillId="0" fontId="4" numFmtId="20" xfId="0" applyAlignment="1" applyBorder="1" applyFont="1" applyNumberFormat="1">
      <alignment horizontal="right"/>
    </xf>
    <xf borderId="28" fillId="0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31" fillId="0" fontId="7" numFmtId="0" xfId="0" applyBorder="1" applyFont="1"/>
    <xf borderId="32" fillId="0" fontId="5" numFmtId="0" xfId="0" applyAlignment="1" applyBorder="1" applyFont="1">
      <alignment horizontal="center"/>
    </xf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23" fillId="0" fontId="5" numFmtId="0" xfId="0" applyAlignment="1" applyBorder="1" applyFont="1">
      <alignment horizontal="center"/>
    </xf>
    <xf borderId="37" fillId="0" fontId="5" numFmtId="0" xfId="0" applyAlignment="1" applyBorder="1" applyFont="1">
      <alignment horizontal="center"/>
    </xf>
    <xf borderId="38" fillId="0" fontId="7" numFmtId="0" xfId="0" applyBorder="1" applyFont="1"/>
    <xf borderId="39" fillId="0" fontId="5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5" fillId="0" fontId="5" numFmtId="164" xfId="0" applyAlignment="1" applyBorder="1" applyFont="1" applyNumberFormat="1">
      <alignment horizontal="center" shrinkToFit="0" wrapText="1"/>
    </xf>
    <xf borderId="6" fillId="3" fontId="5" numFmtId="0" xfId="0" applyAlignment="1" applyBorder="1" applyFill="1" applyFont="1">
      <alignment horizontal="center"/>
    </xf>
    <xf borderId="7" fillId="3" fontId="5" numFmtId="0" xfId="0" applyAlignment="1" applyBorder="1" applyFont="1">
      <alignment horizontal="center"/>
    </xf>
    <xf borderId="8" fillId="3" fontId="2" numFmtId="0" xfId="0" applyBorder="1" applyFont="1"/>
    <xf borderId="40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.88"/>
    <col customWidth="1" min="3" max="3" width="5.5"/>
    <col customWidth="1" min="4" max="4" width="1.63"/>
    <col customWidth="1" min="5" max="5" width="5.38"/>
    <col customWidth="1" min="6" max="6" width="4.13"/>
    <col customWidth="1" min="7" max="8" width="8.25"/>
    <col customWidth="1" min="9" max="9" width="9.88"/>
    <col customWidth="1" min="10" max="10" width="8.25"/>
    <col customWidth="1" min="11" max="11" width="4.13"/>
    <col customWidth="1" min="12" max="12" width="6.0"/>
    <col customWidth="1" min="13" max="13" width="2.0"/>
    <col customWidth="1" min="14" max="14" width="4.38"/>
    <col customWidth="1" min="15" max="15" width="5.5"/>
    <col customWidth="1" min="16" max="16" width="2.13"/>
    <col customWidth="1" min="17" max="17" width="4.38"/>
    <col customWidth="1" min="18" max="18" width="6.0"/>
    <col customWidth="1" min="19" max="19" width="2.0"/>
    <col customWidth="1" min="20" max="20" width="4.38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2"/>
      <c r="C2" s="2"/>
      <c r="D2" s="2"/>
      <c r="E2" s="2"/>
      <c r="F2" s="2"/>
    </row>
    <row r="3">
      <c r="A3" s="4" t="s">
        <v>2</v>
      </c>
      <c r="B3" s="2"/>
      <c r="C3" s="5" t="s">
        <v>3</v>
      </c>
      <c r="D3" s="6"/>
      <c r="E3" s="7"/>
      <c r="F3" s="2"/>
      <c r="G3" s="8" t="s">
        <v>4</v>
      </c>
      <c r="H3" s="8" t="s">
        <v>5</v>
      </c>
      <c r="I3" s="8" t="s">
        <v>6</v>
      </c>
      <c r="J3" s="8" t="s">
        <v>7</v>
      </c>
      <c r="L3" s="9">
        <v>1051.0</v>
      </c>
      <c r="M3" s="10"/>
      <c r="N3" s="11"/>
      <c r="O3" s="9">
        <v>1052.0</v>
      </c>
      <c r="P3" s="10"/>
      <c r="Q3" s="11"/>
    </row>
    <row r="4">
      <c r="A4" s="12" t="s">
        <v>8</v>
      </c>
      <c r="B4" s="13">
        <v>1.0</v>
      </c>
      <c r="C4" s="14">
        <v>0.3854166666666667</v>
      </c>
      <c r="D4" s="15" t="s">
        <v>9</v>
      </c>
      <c r="E4" s="16">
        <v>0.4201388888888889</v>
      </c>
      <c r="F4" s="2"/>
      <c r="G4" s="17" t="s">
        <v>10</v>
      </c>
      <c r="H4" s="17" t="s">
        <v>10</v>
      </c>
      <c r="I4" s="17" t="s">
        <v>10</v>
      </c>
      <c r="J4" s="18"/>
      <c r="L4" s="19"/>
      <c r="M4" s="20"/>
      <c r="N4" s="21"/>
      <c r="O4" s="22" t="s">
        <v>10</v>
      </c>
      <c r="P4" s="23">
        <f>COUNTIF($V4:$BG4,O4)</f>
        <v>0</v>
      </c>
      <c r="Q4" s="24" t="s">
        <v>11</v>
      </c>
    </row>
    <row r="5">
      <c r="A5" s="25"/>
      <c r="B5" s="13">
        <v>2.0</v>
      </c>
      <c r="C5" s="14">
        <v>0.4236111111111111</v>
      </c>
      <c r="D5" s="15" t="s">
        <v>9</v>
      </c>
      <c r="E5" s="16">
        <v>0.4583333333333333</v>
      </c>
      <c r="F5" s="2"/>
      <c r="G5" s="17" t="s">
        <v>10</v>
      </c>
      <c r="H5" s="17" t="s">
        <v>10</v>
      </c>
      <c r="I5" s="17" t="s">
        <v>10</v>
      </c>
      <c r="J5" s="18"/>
      <c r="L5" s="26"/>
      <c r="M5" s="27"/>
      <c r="N5" s="28"/>
      <c r="O5" s="29"/>
      <c r="P5" s="27"/>
      <c r="Q5" s="30"/>
    </row>
    <row r="6">
      <c r="A6" s="25"/>
      <c r="B6" s="13">
        <v>3.0</v>
      </c>
      <c r="C6" s="31">
        <v>0.4618055555555556</v>
      </c>
      <c r="D6" s="32" t="s">
        <v>9</v>
      </c>
      <c r="E6" s="33">
        <v>0.49652777777777773</v>
      </c>
      <c r="F6" s="2"/>
      <c r="G6" s="17" t="s">
        <v>10</v>
      </c>
      <c r="H6" s="17" t="s">
        <v>10</v>
      </c>
      <c r="I6" s="17" t="s">
        <v>10</v>
      </c>
      <c r="J6" s="18"/>
      <c r="L6" s="34" t="s">
        <v>12</v>
      </c>
      <c r="M6" s="23">
        <f>COUNTIF($V6:$BG6,L6)</f>
        <v>0</v>
      </c>
      <c r="N6" s="35" t="s">
        <v>13</v>
      </c>
      <c r="O6" s="36" t="s">
        <v>10</v>
      </c>
      <c r="P6" s="23">
        <f>COUNTIF($V6:$BG6,O6)</f>
        <v>0</v>
      </c>
      <c r="Q6" s="37" t="s">
        <v>11</v>
      </c>
    </row>
    <row r="7">
      <c r="A7" s="25"/>
      <c r="B7" s="13">
        <v>4.0</v>
      </c>
      <c r="C7" s="38">
        <v>0.5</v>
      </c>
      <c r="D7" s="39" t="s">
        <v>9</v>
      </c>
      <c r="E7" s="40">
        <v>0.5347222222222222</v>
      </c>
      <c r="F7" s="2"/>
      <c r="G7" s="17" t="s">
        <v>10</v>
      </c>
      <c r="H7" s="17" t="s">
        <v>10</v>
      </c>
      <c r="I7" s="17" t="s">
        <v>10</v>
      </c>
      <c r="J7" s="18"/>
      <c r="L7" s="41"/>
      <c r="M7" s="27"/>
      <c r="N7" s="28"/>
      <c r="O7" s="42"/>
      <c r="P7" s="43"/>
      <c r="Q7" s="44"/>
    </row>
    <row r="8">
      <c r="A8" s="25"/>
      <c r="B8" s="13">
        <v>5.0</v>
      </c>
      <c r="C8" s="45">
        <v>0.5555555555555556</v>
      </c>
      <c r="D8" s="46" t="s">
        <v>9</v>
      </c>
      <c r="E8" s="47">
        <v>0.5902777777777778</v>
      </c>
      <c r="F8" s="2"/>
      <c r="G8" s="17" t="s">
        <v>14</v>
      </c>
      <c r="H8" s="17" t="s">
        <v>14</v>
      </c>
      <c r="I8" s="17" t="s">
        <v>15</v>
      </c>
      <c r="J8" s="17" t="s">
        <v>14</v>
      </c>
      <c r="L8" s="48" t="s">
        <v>16</v>
      </c>
      <c r="M8" s="49">
        <f>COUNTIF($V8:$BG8,L8&amp;"*")</f>
        <v>0</v>
      </c>
      <c r="N8" s="50" t="s">
        <v>13</v>
      </c>
      <c r="O8" s="51" t="s">
        <v>17</v>
      </c>
      <c r="P8" s="23">
        <f>COUNTIF($V8:$BJ8,O8&amp;"*")</f>
        <v>0</v>
      </c>
      <c r="Q8" s="37" t="s">
        <v>18</v>
      </c>
    </row>
    <row r="9">
      <c r="A9" s="25"/>
      <c r="B9" s="13">
        <v>6.0</v>
      </c>
      <c r="C9" s="14">
        <v>0.59375</v>
      </c>
      <c r="D9" s="15" t="s">
        <v>9</v>
      </c>
      <c r="E9" s="16">
        <v>0.6284722222222222</v>
      </c>
      <c r="F9" s="2"/>
      <c r="G9" s="17" t="s">
        <v>14</v>
      </c>
      <c r="H9" s="17" t="s">
        <v>14</v>
      </c>
      <c r="I9" s="17" t="s">
        <v>15</v>
      </c>
      <c r="J9" s="17" t="s">
        <v>14</v>
      </c>
      <c r="L9" s="29"/>
      <c r="M9" s="27"/>
      <c r="N9" s="28"/>
      <c r="O9" s="29"/>
      <c r="P9" s="27"/>
      <c r="Q9" s="30"/>
    </row>
    <row r="10">
      <c r="A10" s="25"/>
      <c r="B10" s="13">
        <v>7.0</v>
      </c>
      <c r="C10" s="14">
        <v>0.6319444444444444</v>
      </c>
      <c r="D10" s="15" t="s">
        <v>9</v>
      </c>
      <c r="E10" s="16">
        <v>0.6666666666666666</v>
      </c>
      <c r="F10" s="2"/>
      <c r="G10" s="17" t="s">
        <v>19</v>
      </c>
      <c r="H10" s="18"/>
      <c r="I10" s="18"/>
      <c r="J10" s="17" t="s">
        <v>19</v>
      </c>
      <c r="L10" s="34" t="s">
        <v>20</v>
      </c>
      <c r="M10" s="23">
        <f>COUNTIF($V10:$BG10,L10&amp;"*")</f>
        <v>0</v>
      </c>
      <c r="N10" s="35" t="s">
        <v>13</v>
      </c>
      <c r="O10" s="51" t="s">
        <v>21</v>
      </c>
      <c r="P10" s="23">
        <f>COUNTIF($V10:$BJ10,O10&amp;"*")</f>
        <v>0</v>
      </c>
      <c r="Q10" s="37" t="s">
        <v>18</v>
      </c>
    </row>
    <row r="11">
      <c r="A11" s="52"/>
      <c r="B11" s="13">
        <v>8.0</v>
      </c>
      <c r="C11" s="14">
        <v>0.6701388888888888</v>
      </c>
      <c r="D11" s="15" t="s">
        <v>9</v>
      </c>
      <c r="E11" s="16">
        <v>0.7048611111111112</v>
      </c>
      <c r="F11" s="2"/>
      <c r="G11" s="17" t="s">
        <v>19</v>
      </c>
      <c r="H11" s="18"/>
      <c r="I11" s="18"/>
      <c r="J11" s="17" t="s">
        <v>19</v>
      </c>
      <c r="L11" s="26"/>
      <c r="M11" s="27"/>
      <c r="N11" s="28"/>
      <c r="O11" s="29"/>
      <c r="P11" s="27"/>
      <c r="Q11" s="30"/>
    </row>
    <row r="16">
      <c r="A16" s="1" t="s">
        <v>0</v>
      </c>
      <c r="B16" s="2"/>
      <c r="C16" s="2"/>
      <c r="D16" s="2"/>
      <c r="E16" s="2"/>
      <c r="F16" s="2"/>
    </row>
    <row r="17">
      <c r="A17" s="3" t="s">
        <v>22</v>
      </c>
      <c r="B17" s="2"/>
      <c r="C17" s="2"/>
      <c r="D17" s="2"/>
      <c r="E17" s="2"/>
      <c r="F17" s="2"/>
    </row>
    <row r="18">
      <c r="A18" s="4" t="s">
        <v>2</v>
      </c>
      <c r="B18" s="2"/>
      <c r="C18" s="5" t="s">
        <v>3</v>
      </c>
      <c r="D18" s="6"/>
      <c r="E18" s="7"/>
      <c r="F18" s="2"/>
      <c r="G18" s="8" t="s">
        <v>4</v>
      </c>
      <c r="H18" s="8" t="s">
        <v>5</v>
      </c>
      <c r="I18" s="8" t="s">
        <v>6</v>
      </c>
      <c r="J18" s="8" t="s">
        <v>7</v>
      </c>
      <c r="L18" s="9">
        <v>1051.0</v>
      </c>
      <c r="M18" s="10"/>
      <c r="N18" s="11"/>
      <c r="O18" s="9">
        <v>1052.0</v>
      </c>
      <c r="P18" s="10"/>
      <c r="Q18" s="11"/>
    </row>
    <row r="19">
      <c r="A19" s="12" t="s">
        <v>23</v>
      </c>
      <c r="B19" s="13">
        <v>1.0</v>
      </c>
      <c r="C19" s="14">
        <v>0.3854166666666667</v>
      </c>
      <c r="D19" s="15" t="s">
        <v>9</v>
      </c>
      <c r="E19" s="16">
        <v>0.4201388888888889</v>
      </c>
      <c r="F19" s="2"/>
      <c r="G19" s="17" t="s">
        <v>24</v>
      </c>
      <c r="H19" s="18"/>
      <c r="I19" s="18"/>
      <c r="J19" s="17" t="s">
        <v>24</v>
      </c>
      <c r="L19" s="34" t="s">
        <v>25</v>
      </c>
      <c r="M19" s="23">
        <f>COUNTIF($V19:$BG19,L19&amp;"*")</f>
        <v>0</v>
      </c>
      <c r="N19" s="53" t="s">
        <v>26</v>
      </c>
      <c r="O19" s="19"/>
      <c r="P19" s="20"/>
      <c r="Q19" s="21"/>
    </row>
    <row r="20">
      <c r="A20" s="25"/>
      <c r="B20" s="13">
        <v>2.0</v>
      </c>
      <c r="C20" s="14">
        <v>0.4236111111111111</v>
      </c>
      <c r="D20" s="15" t="s">
        <v>9</v>
      </c>
      <c r="E20" s="16">
        <v>0.4583333333333333</v>
      </c>
      <c r="F20" s="2"/>
      <c r="G20" s="17" t="s">
        <v>24</v>
      </c>
      <c r="H20" s="18"/>
      <c r="I20" s="18"/>
      <c r="J20" s="17" t="s">
        <v>24</v>
      </c>
      <c r="L20" s="26"/>
      <c r="M20" s="27"/>
      <c r="N20" s="54"/>
      <c r="O20" s="26"/>
      <c r="P20" s="27"/>
      <c r="Q20" s="28"/>
    </row>
    <row r="21">
      <c r="A21" s="25"/>
      <c r="B21" s="13">
        <v>3.0</v>
      </c>
      <c r="C21" s="31">
        <v>0.4618055555555556</v>
      </c>
      <c r="D21" s="32" t="s">
        <v>9</v>
      </c>
      <c r="E21" s="33">
        <v>0.49652777777777773</v>
      </c>
      <c r="F21" s="2"/>
      <c r="G21" s="17" t="s">
        <v>24</v>
      </c>
      <c r="H21" s="17" t="s">
        <v>27</v>
      </c>
      <c r="I21" s="18"/>
      <c r="J21" s="17" t="s">
        <v>24</v>
      </c>
      <c r="L21" s="34" t="s">
        <v>25</v>
      </c>
      <c r="M21" s="23">
        <f>COUNTIF($V21:$BG21,L21&amp;"*")</f>
        <v>0</v>
      </c>
      <c r="N21" s="53" t="s">
        <v>26</v>
      </c>
      <c r="O21" s="34" t="s">
        <v>17</v>
      </c>
      <c r="P21" s="23">
        <f>COUNTIF($V21:$BG21,O21&amp;"*")</f>
        <v>0</v>
      </c>
      <c r="Q21" s="35" t="s">
        <v>13</v>
      </c>
    </row>
    <row r="22">
      <c r="A22" s="25"/>
      <c r="B22" s="13">
        <v>4.0</v>
      </c>
      <c r="C22" s="38">
        <v>0.5</v>
      </c>
      <c r="D22" s="39" t="s">
        <v>9</v>
      </c>
      <c r="E22" s="40">
        <v>0.5347222222222222</v>
      </c>
      <c r="F22" s="2"/>
      <c r="G22" s="17" t="s">
        <v>24</v>
      </c>
      <c r="H22" s="17" t="s">
        <v>27</v>
      </c>
      <c r="I22" s="18"/>
      <c r="J22" s="17" t="s">
        <v>24</v>
      </c>
      <c r="L22" s="55"/>
      <c r="M22" s="43"/>
      <c r="N22" s="56"/>
      <c r="O22" s="55"/>
      <c r="P22" s="43"/>
      <c r="Q22" s="57"/>
    </row>
    <row r="23">
      <c r="A23" s="25"/>
      <c r="B23" s="13">
        <v>5.0</v>
      </c>
      <c r="C23" s="45">
        <v>0.5555555555555556</v>
      </c>
      <c r="D23" s="46" t="s">
        <v>9</v>
      </c>
      <c r="E23" s="47">
        <v>0.5902777777777778</v>
      </c>
      <c r="F23" s="2"/>
      <c r="G23" s="17" t="s">
        <v>28</v>
      </c>
      <c r="H23" s="18"/>
      <c r="I23" s="17" t="s">
        <v>29</v>
      </c>
      <c r="J23" s="17" t="s">
        <v>28</v>
      </c>
      <c r="L23" s="58" t="s">
        <v>30</v>
      </c>
      <c r="M23" s="49">
        <f>COUNTIF($V23:$BG23,L23&amp;"*")</f>
        <v>0</v>
      </c>
      <c r="N23" s="59" t="s">
        <v>31</v>
      </c>
      <c r="O23" s="34" t="s">
        <v>32</v>
      </c>
      <c r="P23" s="49">
        <f>COUNTIF($V23:$BG23,O23&amp;"*")</f>
        <v>0</v>
      </c>
      <c r="Q23" s="50" t="s">
        <v>13</v>
      </c>
    </row>
    <row r="24">
      <c r="A24" s="25"/>
      <c r="B24" s="13">
        <v>6.0</v>
      </c>
      <c r="C24" s="14">
        <v>0.59375</v>
      </c>
      <c r="D24" s="15" t="s">
        <v>9</v>
      </c>
      <c r="E24" s="16">
        <v>0.6284722222222222</v>
      </c>
      <c r="F24" s="2"/>
      <c r="G24" s="17" t="s">
        <v>28</v>
      </c>
      <c r="H24" s="2"/>
      <c r="I24" s="17" t="s">
        <v>29</v>
      </c>
      <c r="J24" s="17" t="s">
        <v>28</v>
      </c>
      <c r="L24" s="26"/>
      <c r="M24" s="27"/>
      <c r="N24" s="54"/>
      <c r="O24" s="26"/>
      <c r="P24" s="27"/>
      <c r="Q24" s="60"/>
    </row>
    <row r="25">
      <c r="A25" s="25"/>
      <c r="B25" s="13">
        <v>7.0</v>
      </c>
      <c r="C25" s="14">
        <v>0.6319444444444444</v>
      </c>
      <c r="D25" s="15" t="s">
        <v>9</v>
      </c>
      <c r="E25" s="16">
        <v>0.6666666666666666</v>
      </c>
      <c r="F25" s="2"/>
      <c r="G25" s="17" t="s">
        <v>29</v>
      </c>
      <c r="H25" s="17" t="s">
        <v>33</v>
      </c>
      <c r="I25" s="17" t="s">
        <v>34</v>
      </c>
      <c r="J25" s="18"/>
      <c r="L25" s="58" t="s">
        <v>35</v>
      </c>
      <c r="M25" s="23">
        <f>COUNTIF($V25:$BG25,L25&amp;"*")</f>
        <v>0</v>
      </c>
      <c r="N25" s="61" t="s">
        <v>31</v>
      </c>
      <c r="O25" s="34" t="s">
        <v>32</v>
      </c>
      <c r="P25" s="62">
        <f>COUNTIF($V25:$BG25,O25&amp;"*")</f>
        <v>0</v>
      </c>
      <c r="Q25" s="35" t="s">
        <v>13</v>
      </c>
    </row>
    <row r="26">
      <c r="A26" s="52"/>
      <c r="B26" s="13">
        <v>8.0</v>
      </c>
      <c r="C26" s="14">
        <v>0.6701388888888888</v>
      </c>
      <c r="D26" s="15" t="s">
        <v>9</v>
      </c>
      <c r="E26" s="16">
        <v>0.7048611111111112</v>
      </c>
      <c r="F26" s="2"/>
      <c r="G26" s="17" t="s">
        <v>29</v>
      </c>
      <c r="H26" s="17" t="s">
        <v>33</v>
      </c>
      <c r="I26" s="17" t="s">
        <v>34</v>
      </c>
      <c r="J26" s="18"/>
      <c r="L26" s="26"/>
      <c r="M26" s="27"/>
      <c r="N26" s="54"/>
      <c r="O26" s="26"/>
      <c r="P26" s="27"/>
      <c r="Q26" s="28"/>
    </row>
    <row r="31">
      <c r="A31" s="1" t="s">
        <v>0</v>
      </c>
      <c r="B31" s="2"/>
      <c r="C31" s="2"/>
      <c r="D31" s="2"/>
      <c r="E31" s="2"/>
      <c r="F31" s="2"/>
    </row>
    <row r="32">
      <c r="A32" s="3" t="s">
        <v>36</v>
      </c>
      <c r="B32" s="2"/>
      <c r="C32" s="2"/>
      <c r="D32" s="2"/>
      <c r="E32" s="2"/>
      <c r="F32" s="2"/>
    </row>
    <row r="33">
      <c r="A33" s="4" t="s">
        <v>2</v>
      </c>
      <c r="B33" s="2"/>
      <c r="C33" s="5" t="s">
        <v>3</v>
      </c>
      <c r="D33" s="6"/>
      <c r="E33" s="7"/>
      <c r="F33" s="2"/>
      <c r="G33" s="8" t="s">
        <v>4</v>
      </c>
      <c r="H33" s="8" t="s">
        <v>5</v>
      </c>
      <c r="I33" s="8" t="s">
        <v>6</v>
      </c>
      <c r="J33" s="8" t="s">
        <v>7</v>
      </c>
      <c r="L33" s="9">
        <v>1051.0</v>
      </c>
      <c r="M33" s="10"/>
      <c r="N33" s="11"/>
      <c r="O33" s="9">
        <v>1052.0</v>
      </c>
      <c r="P33" s="10"/>
      <c r="Q33" s="11"/>
      <c r="R33" s="9">
        <v>1053.0</v>
      </c>
      <c r="S33" s="10"/>
      <c r="T33" s="11"/>
    </row>
    <row r="34">
      <c r="A34" s="63" t="s">
        <v>37</v>
      </c>
      <c r="B34" s="13">
        <v>1.0</v>
      </c>
      <c r="C34" s="14">
        <v>0.3854166666666667</v>
      </c>
      <c r="D34" s="15" t="s">
        <v>9</v>
      </c>
      <c r="E34" s="16">
        <v>0.4201388888888889</v>
      </c>
      <c r="F34" s="2"/>
      <c r="G34" s="18"/>
      <c r="H34" s="17" t="s">
        <v>38</v>
      </c>
      <c r="I34" s="17" t="s">
        <v>39</v>
      </c>
      <c r="J34" s="18"/>
      <c r="L34" s="19"/>
      <c r="M34" s="20"/>
      <c r="N34" s="21"/>
      <c r="O34" s="19"/>
      <c r="P34" s="20"/>
      <c r="Q34" s="21"/>
      <c r="R34" s="34" t="s">
        <v>40</v>
      </c>
      <c r="S34" s="23">
        <f>COUNTIF($V34:$BG34,R34&amp;"*")</f>
        <v>0</v>
      </c>
      <c r="T34" s="35" t="s">
        <v>13</v>
      </c>
    </row>
    <row r="35">
      <c r="A35" s="25"/>
      <c r="B35" s="13">
        <v>2.0</v>
      </c>
      <c r="C35" s="14">
        <v>0.4236111111111111</v>
      </c>
      <c r="D35" s="15" t="s">
        <v>9</v>
      </c>
      <c r="E35" s="16">
        <v>0.4583333333333333</v>
      </c>
      <c r="F35" s="2"/>
      <c r="G35" s="18"/>
      <c r="H35" s="17" t="s">
        <v>38</v>
      </c>
      <c r="I35" s="17" t="s">
        <v>39</v>
      </c>
      <c r="J35" s="18"/>
      <c r="L35" s="26"/>
      <c r="M35" s="27"/>
      <c r="N35" s="28"/>
      <c r="O35" s="26"/>
      <c r="P35" s="27"/>
      <c r="Q35" s="28"/>
      <c r="R35" s="26"/>
      <c r="S35" s="27"/>
      <c r="T35" s="28"/>
    </row>
    <row r="36">
      <c r="A36" s="25"/>
      <c r="B36" s="13">
        <v>3.0</v>
      </c>
      <c r="C36" s="31">
        <v>0.4618055555555556</v>
      </c>
      <c r="D36" s="32" t="s">
        <v>9</v>
      </c>
      <c r="E36" s="33">
        <v>0.49652777777777773</v>
      </c>
      <c r="F36" s="2"/>
      <c r="G36" s="17" t="s">
        <v>41</v>
      </c>
      <c r="H36" s="18"/>
      <c r="I36" s="17" t="s">
        <v>42</v>
      </c>
      <c r="J36" s="18"/>
      <c r="L36" s="64" t="s">
        <v>43</v>
      </c>
      <c r="M36" s="65">
        <f>COUNTIF($V36:$BG36,L36&amp;"*")</f>
        <v>0</v>
      </c>
      <c r="N36" s="66"/>
      <c r="O36" s="34" t="s">
        <v>32</v>
      </c>
      <c r="P36" s="23">
        <f>COUNTIF($V36:$BG36,O36&amp;"*")</f>
        <v>0</v>
      </c>
      <c r="Q36" s="35" t="s">
        <v>18</v>
      </c>
      <c r="R36" s="34" t="s">
        <v>41</v>
      </c>
      <c r="S36" s="23">
        <f>COUNTIF($V36:$BG36,R36&amp;"*")</f>
        <v>0</v>
      </c>
      <c r="T36" s="35" t="s">
        <v>13</v>
      </c>
    </row>
    <row r="37">
      <c r="A37" s="25"/>
      <c r="B37" s="13">
        <v>4.0</v>
      </c>
      <c r="C37" s="38">
        <v>0.5</v>
      </c>
      <c r="D37" s="39" t="s">
        <v>9</v>
      </c>
      <c r="E37" s="40">
        <v>0.5347222222222222</v>
      </c>
      <c r="F37" s="2"/>
      <c r="G37" s="17" t="s">
        <v>41</v>
      </c>
      <c r="H37" s="18"/>
      <c r="I37" s="17" t="s">
        <v>42</v>
      </c>
      <c r="J37" s="18"/>
      <c r="L37" s="55"/>
      <c r="M37" s="43"/>
      <c r="N37" s="57"/>
      <c r="O37" s="55"/>
      <c r="P37" s="43"/>
      <c r="Q37" s="57"/>
      <c r="R37" s="55"/>
      <c r="S37" s="43"/>
      <c r="T37" s="57"/>
    </row>
    <row r="38">
      <c r="A38" s="25"/>
      <c r="B38" s="13">
        <v>5.0</v>
      </c>
      <c r="C38" s="45">
        <v>0.5555555555555556</v>
      </c>
      <c r="D38" s="46" t="s">
        <v>9</v>
      </c>
      <c r="E38" s="47">
        <v>0.5902777777777778</v>
      </c>
      <c r="F38" s="2"/>
      <c r="G38" s="17" t="s">
        <v>44</v>
      </c>
      <c r="H38" s="17" t="s">
        <v>45</v>
      </c>
      <c r="I38" s="17" t="s">
        <v>44</v>
      </c>
      <c r="J38" s="17" t="s">
        <v>41</v>
      </c>
      <c r="L38" s="67" t="s">
        <v>46</v>
      </c>
      <c r="M38" s="49">
        <f>COUNTIF($V38:$BG38,L38&amp;"*")</f>
        <v>0</v>
      </c>
      <c r="N38" s="35" t="s">
        <v>47</v>
      </c>
      <c r="O38" s="67" t="s">
        <v>48</v>
      </c>
      <c r="P38" s="49">
        <f>COUNTIF($V38:$BG38,O38&amp;"*")</f>
        <v>0</v>
      </c>
      <c r="Q38" s="50" t="s">
        <v>18</v>
      </c>
      <c r="R38" s="67" t="s">
        <v>35</v>
      </c>
      <c r="S38" s="49">
        <f>COUNTIF($V38:$BG38,R38&amp;"*")</f>
        <v>0</v>
      </c>
      <c r="T38" s="50" t="s">
        <v>31</v>
      </c>
    </row>
    <row r="39">
      <c r="A39" s="25"/>
      <c r="B39" s="13">
        <v>6.0</v>
      </c>
      <c r="C39" s="14">
        <v>0.59375</v>
      </c>
      <c r="D39" s="15" t="s">
        <v>9</v>
      </c>
      <c r="E39" s="16">
        <v>0.6284722222222222</v>
      </c>
      <c r="F39" s="2"/>
      <c r="G39" s="17" t="s">
        <v>44</v>
      </c>
      <c r="H39" s="17" t="s">
        <v>45</v>
      </c>
      <c r="I39" s="17" t="s">
        <v>44</v>
      </c>
      <c r="J39" s="17" t="s">
        <v>41</v>
      </c>
      <c r="L39" s="26"/>
      <c r="M39" s="27"/>
      <c r="N39" s="28"/>
      <c r="O39" s="26"/>
      <c r="P39" s="27"/>
      <c r="Q39" s="28"/>
      <c r="R39" s="26"/>
      <c r="S39" s="27"/>
      <c r="T39" s="28"/>
    </row>
    <row r="40">
      <c r="A40" s="25"/>
      <c r="B40" s="13">
        <v>7.0</v>
      </c>
      <c r="C40" s="14">
        <v>0.6319444444444444</v>
      </c>
      <c r="D40" s="15" t="s">
        <v>9</v>
      </c>
      <c r="E40" s="16">
        <v>0.6666666666666666</v>
      </c>
      <c r="F40" s="2"/>
      <c r="G40" s="17" t="s">
        <v>49</v>
      </c>
      <c r="H40" s="17" t="s">
        <v>50</v>
      </c>
      <c r="I40" s="17" t="s">
        <v>51</v>
      </c>
      <c r="J40" s="17" t="s">
        <v>49</v>
      </c>
      <c r="L40" s="34" t="s">
        <v>52</v>
      </c>
      <c r="M40" s="23">
        <f>COUNTIF($V40:$BG40,L40&amp;"*")</f>
        <v>0</v>
      </c>
      <c r="N40" s="35" t="s">
        <v>47</v>
      </c>
      <c r="O40" s="34" t="s">
        <v>53</v>
      </c>
      <c r="P40" s="23">
        <f>COUNTIF($V40:$BG40,O40&amp;"*")</f>
        <v>0</v>
      </c>
      <c r="Q40" s="35" t="s">
        <v>18</v>
      </c>
      <c r="R40" s="34" t="s">
        <v>54</v>
      </c>
      <c r="S40" s="23">
        <f>COUNTIF($V40:$BG40,R40&amp;"*")</f>
        <v>0</v>
      </c>
      <c r="T40" s="35" t="s">
        <v>31</v>
      </c>
    </row>
    <row r="41">
      <c r="A41" s="52"/>
      <c r="B41" s="13">
        <v>8.0</v>
      </c>
      <c r="C41" s="14">
        <v>0.6701388888888888</v>
      </c>
      <c r="D41" s="15" t="s">
        <v>9</v>
      </c>
      <c r="E41" s="16">
        <v>0.7048611111111112</v>
      </c>
      <c r="F41" s="2"/>
      <c r="G41" s="17" t="s">
        <v>49</v>
      </c>
      <c r="H41" s="17" t="s">
        <v>50</v>
      </c>
      <c r="I41" s="17" t="s">
        <v>51</v>
      </c>
      <c r="J41" s="17" t="s">
        <v>49</v>
      </c>
      <c r="L41" s="26"/>
      <c r="M41" s="27"/>
      <c r="N41" s="28"/>
      <c r="O41" s="26"/>
      <c r="P41" s="27"/>
      <c r="Q41" s="28"/>
      <c r="R41" s="26"/>
      <c r="S41" s="27"/>
      <c r="T41" s="28"/>
    </row>
  </sheetData>
  <mergeCells count="94">
    <mergeCell ref="P4:P5"/>
    <mergeCell ref="Q4:Q5"/>
    <mergeCell ref="L6:L7"/>
    <mergeCell ref="M6:M7"/>
    <mergeCell ref="N6:N7"/>
    <mergeCell ref="O6:O7"/>
    <mergeCell ref="P6:P7"/>
    <mergeCell ref="Q6:Q7"/>
    <mergeCell ref="L8:L9"/>
    <mergeCell ref="M8:M9"/>
    <mergeCell ref="L18:N18"/>
    <mergeCell ref="L33:N33"/>
    <mergeCell ref="N8:N9"/>
    <mergeCell ref="O8:O9"/>
    <mergeCell ref="R34:R35"/>
    <mergeCell ref="R36:R37"/>
    <mergeCell ref="S36:S37"/>
    <mergeCell ref="T36:T37"/>
    <mergeCell ref="P8:P9"/>
    <mergeCell ref="Q8:Q9"/>
    <mergeCell ref="O18:Q18"/>
    <mergeCell ref="O33:Q33"/>
    <mergeCell ref="R33:T33"/>
    <mergeCell ref="S34:S35"/>
    <mergeCell ref="T34:T35"/>
    <mergeCell ref="N10:N11"/>
    <mergeCell ref="O10:O11"/>
    <mergeCell ref="P10:P11"/>
    <mergeCell ref="Q10:Q11"/>
    <mergeCell ref="L3:N3"/>
    <mergeCell ref="O3:Q3"/>
    <mergeCell ref="A4:A11"/>
    <mergeCell ref="L4:L5"/>
    <mergeCell ref="M4:M5"/>
    <mergeCell ref="N4:N5"/>
    <mergeCell ref="O4:O5"/>
    <mergeCell ref="P19:P20"/>
    <mergeCell ref="Q19:Q20"/>
    <mergeCell ref="L21:L22"/>
    <mergeCell ref="M21:M22"/>
    <mergeCell ref="N21:N22"/>
    <mergeCell ref="O21:O22"/>
    <mergeCell ref="P21:P22"/>
    <mergeCell ref="Q21:Q22"/>
    <mergeCell ref="L23:L24"/>
    <mergeCell ref="M23:M24"/>
    <mergeCell ref="P23:P24"/>
    <mergeCell ref="Q23:Q24"/>
    <mergeCell ref="L10:L11"/>
    <mergeCell ref="M10:M11"/>
    <mergeCell ref="A19:A26"/>
    <mergeCell ref="L19:L20"/>
    <mergeCell ref="M19:M20"/>
    <mergeCell ref="N19:N20"/>
    <mergeCell ref="O19:O20"/>
    <mergeCell ref="L40:L41"/>
    <mergeCell ref="M40:M41"/>
    <mergeCell ref="N40:N41"/>
    <mergeCell ref="O40:O41"/>
    <mergeCell ref="L25:L26"/>
    <mergeCell ref="M25:M26"/>
    <mergeCell ref="A34:A41"/>
    <mergeCell ref="L34:L35"/>
    <mergeCell ref="M34:M35"/>
    <mergeCell ref="N34:N35"/>
    <mergeCell ref="O34:O35"/>
    <mergeCell ref="N23:N24"/>
    <mergeCell ref="O23:O24"/>
    <mergeCell ref="N25:N26"/>
    <mergeCell ref="O25:O26"/>
    <mergeCell ref="P25:P26"/>
    <mergeCell ref="Q25:Q26"/>
    <mergeCell ref="P34:P35"/>
    <mergeCell ref="Q34:Q35"/>
    <mergeCell ref="P40:P41"/>
    <mergeCell ref="Q40:Q41"/>
    <mergeCell ref="R40:R41"/>
    <mergeCell ref="S40:S41"/>
    <mergeCell ref="T40:T41"/>
    <mergeCell ref="L36:L37"/>
    <mergeCell ref="M36:M37"/>
    <mergeCell ref="N36:N37"/>
    <mergeCell ref="O36:O37"/>
    <mergeCell ref="P36:P37"/>
    <mergeCell ref="Q36:Q37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</mergeCells>
  <printOptions gridLines="1" horizontalCentered="1"/>
  <pageMargins bottom="0.75" footer="0.0" header="0.0" left="0.7" right="0.7" top="0.75"/>
  <pageSetup fitToHeight="0" paperSize="9" orientation="portrait" pageOrder="overThenDown"/>
  <drawing r:id="rId1"/>
</worksheet>
</file>